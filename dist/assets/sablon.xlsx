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ctrl\Downloads\"/>
    </mc:Choice>
  </mc:AlternateContent>
  <xr:revisionPtr revIDLastSave="0" documentId="13_ncr:1_{945955EE-B449-4B7A-BE15-E6D8CB688895}" xr6:coauthVersionLast="47" xr6:coauthVersionMax="47" xr10:uidLastSave="{00000000-0000-0000-0000-000000000000}"/>
  <bookViews>
    <workbookView xWindow="-20610" yWindow="-120" windowWidth="20730" windowHeight="11310" xr2:uid="{00000000-000D-0000-FFFF-FFFF00000000}"/>
  </bookViews>
  <sheets>
    <sheet name="Muayeneler" sheetId="1" r:id="rId1"/>
  </sheets>
  <definedNames>
    <definedName name="il">#REF!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C26" i="1" l="1"/>
  <c r="AC25" i="1"/>
  <c r="AC24" i="1"/>
  <c r="AC23" i="1"/>
  <c r="AC22" i="1"/>
  <c r="AC21" i="1"/>
  <c r="AC20" i="1"/>
  <c r="AC19" i="1"/>
  <c r="AC18" i="1"/>
  <c r="AC17" i="1"/>
  <c r="AC16" i="1"/>
  <c r="AC15" i="1"/>
  <c r="AC14" i="1"/>
  <c r="AC13" i="1"/>
  <c r="AC12" i="1"/>
  <c r="AC11" i="1"/>
  <c r="AC10" i="1"/>
  <c r="AC9" i="1"/>
  <c r="AC8" i="1"/>
  <c r="AC7" i="1"/>
  <c r="AC6" i="1"/>
  <c r="AC5" i="1"/>
  <c r="AC4" i="1"/>
  <c r="AC3" i="1"/>
  <c r="AC2" i="1"/>
  <c r="Y2" i="1"/>
  <c r="U2" i="1"/>
  <c r="U26" i="1"/>
  <c r="U25" i="1"/>
  <c r="U24" i="1"/>
  <c r="U23" i="1"/>
  <c r="U22" i="1"/>
  <c r="U21" i="1"/>
  <c r="U20" i="1"/>
  <c r="U19" i="1"/>
  <c r="U18" i="1"/>
  <c r="U17" i="1"/>
  <c r="U16" i="1"/>
  <c r="U15" i="1"/>
  <c r="U14" i="1"/>
  <c r="U13" i="1"/>
  <c r="U12" i="1"/>
  <c r="U11" i="1"/>
  <c r="U10" i="1"/>
  <c r="U9" i="1"/>
  <c r="U8" i="1"/>
  <c r="U7" i="1"/>
  <c r="U6" i="1"/>
  <c r="U5" i="1"/>
  <c r="U4" i="1"/>
  <c r="U3" i="1"/>
  <c r="Y26" i="1"/>
  <c r="Y25" i="1"/>
  <c r="Y24" i="1"/>
  <c r="Y23" i="1"/>
  <c r="Y22" i="1"/>
  <c r="Y21" i="1"/>
  <c r="Y20" i="1"/>
  <c r="Y19" i="1"/>
  <c r="Y18" i="1"/>
  <c r="Y17" i="1"/>
  <c r="Y16" i="1"/>
  <c r="Y15" i="1"/>
  <c r="Y14" i="1"/>
  <c r="Y13" i="1"/>
  <c r="Y12" i="1"/>
  <c r="Y11" i="1"/>
  <c r="Y10" i="1"/>
  <c r="Y9" i="1"/>
  <c r="Y8" i="1"/>
  <c r="Y7" i="1"/>
  <c r="Y6" i="1"/>
  <c r="Y5" i="1"/>
  <c r="Y4" i="1"/>
  <c r="Y3" i="1"/>
</calcChain>
</file>

<file path=xl/sharedStrings.xml><?xml version="1.0" encoding="utf-8"?>
<sst xmlns="http://schemas.openxmlformats.org/spreadsheetml/2006/main" count="499" uniqueCount="216">
  <si>
    <t>Talep No</t>
  </si>
  <si>
    <t>Başv.Tarih</t>
  </si>
  <si>
    <t>Muay.Tarih</t>
  </si>
  <si>
    <t>Tip</t>
  </si>
  <si>
    <t>254503000008-1</t>
  </si>
  <si>
    <t>O.OLMAYAN</t>
  </si>
  <si>
    <t>İHLAS TARSAN/ORA</t>
  </si>
  <si>
    <t>Serino</t>
  </si>
  <si>
    <t>3291-005385</t>
  </si>
  <si>
    <t>İmal yılı</t>
  </si>
  <si>
    <t>Sınıf</t>
  </si>
  <si>
    <t>Başvr. Sahibi</t>
  </si>
  <si>
    <t>ŞADİYE SALI</t>
  </si>
  <si>
    <t>Telefon</t>
  </si>
  <si>
    <t>AKHİSAR</t>
  </si>
  <si>
    <t>EFENDİ</t>
  </si>
  <si>
    <t>Kapasite(w1)</t>
  </si>
  <si>
    <t>e(w1)</t>
  </si>
  <si>
    <t>d(w1)</t>
  </si>
  <si>
    <t>Kapasite(w2)</t>
  </si>
  <si>
    <t>e(w2)</t>
  </si>
  <si>
    <t>d(w2)</t>
  </si>
  <si>
    <t>Muay.Seri No</t>
  </si>
  <si>
    <t>İl</t>
  </si>
  <si>
    <t>İlçe</t>
  </si>
  <si>
    <t>Mahalle</t>
  </si>
  <si>
    <t>Marka/Model</t>
  </si>
  <si>
    <t>Firma Tam Unvan</t>
  </si>
  <si>
    <t>Firma Adı</t>
  </si>
  <si>
    <t>Adres</t>
  </si>
  <si>
    <t>Email</t>
  </si>
  <si>
    <t>02,01,2025</t>
  </si>
  <si>
    <t>03,02,2025</t>
  </si>
  <si>
    <t>SALI BAKKAL</t>
  </si>
  <si>
    <t>60520115370</t>
  </si>
  <si>
    <t>MANİSA</t>
  </si>
  <si>
    <t>TC/Vergi No</t>
  </si>
  <si>
    <t>2010</t>
  </si>
  <si>
    <t>1452.Sk.No:42</t>
  </si>
  <si>
    <t>Kapasite Birim(w1)</t>
  </si>
  <si>
    <t>Kapasite Birim(w2)</t>
  </si>
  <si>
    <t>254503000060-1</t>
  </si>
  <si>
    <t>254503000006-1</t>
  </si>
  <si>
    <t>254503000005-1</t>
  </si>
  <si>
    <t>254503000004-1</t>
  </si>
  <si>
    <t>254503000065-1</t>
  </si>
  <si>
    <t>254503000010-1</t>
  </si>
  <si>
    <t>254503000090-1</t>
  </si>
  <si>
    <t>254503000011-2</t>
  </si>
  <si>
    <t>254503000011-1</t>
  </si>
  <si>
    <t>254503000002-2</t>
  </si>
  <si>
    <t>254503000002-3</t>
  </si>
  <si>
    <t>254503000002-1</t>
  </si>
  <si>
    <t>254503000087-1</t>
  </si>
  <si>
    <t>254503000106-1</t>
  </si>
  <si>
    <t>254503000013-1</t>
  </si>
  <si>
    <t>254503000088-1</t>
  </si>
  <si>
    <t>254503000089-1</t>
  </si>
  <si>
    <t>254503000089-2</t>
  </si>
  <si>
    <t>254503000063-1</t>
  </si>
  <si>
    <t>254503000003-1</t>
  </si>
  <si>
    <t>254503000110-1</t>
  </si>
  <si>
    <t>254503000064-1</t>
  </si>
  <si>
    <t>254503000061-2</t>
  </si>
  <si>
    <t>03,01,2025</t>
  </si>
  <si>
    <t>05,01,2025</t>
  </si>
  <si>
    <t>02,01,2024</t>
  </si>
  <si>
    <t>04,01,2025</t>
  </si>
  <si>
    <t>06,01,2025</t>
  </si>
  <si>
    <t>BASTER/CHBL</t>
  </si>
  <si>
    <t>İHLAS TARSAN/BEH30K3L</t>
  </si>
  <si>
    <t>DESİS/ATP</t>
  </si>
  <si>
    <t>TESS/PT30</t>
  </si>
  <si>
    <t>AURA/BEH30K2L</t>
  </si>
  <si>
    <t>TESS/PT SERİSİ</t>
  </si>
  <si>
    <t>HANA-HS-9500 LCD</t>
  </si>
  <si>
    <t>TESS/PT-30</t>
  </si>
  <si>
    <t>BETSA/ETB1601</t>
  </si>
  <si>
    <t>CEOPOS/CA-P</t>
  </si>
  <si>
    <t>RONTGA/RLS1000C</t>
  </si>
  <si>
    <t>TEM/MEB</t>
  </si>
  <si>
    <t>CAS/ER JR</t>
  </si>
  <si>
    <t>TESS/MT-30</t>
  </si>
  <si>
    <t>AYTER/30S</t>
  </si>
  <si>
    <t>TEM/EGE M</t>
  </si>
  <si>
    <t>TEM/EGE-LED</t>
  </si>
  <si>
    <t>İHLAS TARSAN/BEH30K 3L</t>
  </si>
  <si>
    <t>CAS/TP I</t>
  </si>
  <si>
    <t>CAS/SW-II</t>
  </si>
  <si>
    <t>TESS/EB</t>
  </si>
  <si>
    <t>ACLAS/LS2615E</t>
  </si>
  <si>
    <t>56990</t>
  </si>
  <si>
    <t>87800</t>
  </si>
  <si>
    <t>070243</t>
  </si>
  <si>
    <t>13415</t>
  </si>
  <si>
    <t>3191-002931</t>
  </si>
  <si>
    <t>15147</t>
  </si>
  <si>
    <t>17TR03.03.36</t>
  </si>
  <si>
    <t>12614</t>
  </si>
  <si>
    <t>16025085</t>
  </si>
  <si>
    <t>CA-PM20230005</t>
  </si>
  <si>
    <t>CA-PM20230010</t>
  </si>
  <si>
    <t>V2012151000C0368</t>
  </si>
  <si>
    <t>20-N055710</t>
  </si>
  <si>
    <t>190755643</t>
  </si>
  <si>
    <t>60784106596</t>
  </si>
  <si>
    <t>28224</t>
  </si>
  <si>
    <t>21-419298</t>
  </si>
  <si>
    <t>21-416977</t>
  </si>
  <si>
    <t>103525</t>
  </si>
  <si>
    <t>040022</t>
  </si>
  <si>
    <t>18620</t>
  </si>
  <si>
    <t>23061049</t>
  </si>
  <si>
    <t>23061203</t>
  </si>
  <si>
    <t>2007</t>
  </si>
  <si>
    <t>2002</t>
  </si>
  <si>
    <t>2017</t>
  </si>
  <si>
    <t>2008</t>
  </si>
  <si>
    <t>2021</t>
  </si>
  <si>
    <t>2016</t>
  </si>
  <si>
    <t>2023</t>
  </si>
  <si>
    <t>2020</t>
  </si>
  <si>
    <t>2009</t>
  </si>
  <si>
    <t>2014</t>
  </si>
  <si>
    <t>III</t>
  </si>
  <si>
    <t>30</t>
  </si>
  <si>
    <t>30/60</t>
  </si>
  <si>
    <t xml:space="preserve">3/6 </t>
  </si>
  <si>
    <t>600</t>
  </si>
  <si>
    <t>1452.Sk.No:43</t>
  </si>
  <si>
    <t>1452.Sk.No:44</t>
  </si>
  <si>
    <t>1452.Sk.No:45</t>
  </si>
  <si>
    <t>1452.Sk.No:46</t>
  </si>
  <si>
    <t>1452.Sk.No:47</t>
  </si>
  <si>
    <t>1452.Sk.No:48</t>
  </si>
  <si>
    <t>1452.Sk.No:49</t>
  </si>
  <si>
    <t>1452.Sk.No:50</t>
  </si>
  <si>
    <t>1452.Sk.No:51</t>
  </si>
  <si>
    <t>1452.Sk.No:52</t>
  </si>
  <si>
    <t>1452.Sk.No:53</t>
  </si>
  <si>
    <t>1452.Sk.No:54</t>
  </si>
  <si>
    <t>1452.Sk.No:55</t>
  </si>
  <si>
    <t>1452.Sk.No:56</t>
  </si>
  <si>
    <t>1452.Sk.No:57</t>
  </si>
  <si>
    <t>1452.Sk.No:58</t>
  </si>
  <si>
    <t>1452.Sk.No:59</t>
  </si>
  <si>
    <t>1452.Sk.No:60</t>
  </si>
  <si>
    <t>1452.Sk.No:61</t>
  </si>
  <si>
    <t>1452.Sk.No:62</t>
  </si>
  <si>
    <t>1452.Sk.No:63</t>
  </si>
  <si>
    <t>1452.Sk.No:64</t>
  </si>
  <si>
    <t>1452.Sk.No:65</t>
  </si>
  <si>
    <t>1452.Sk.No:66</t>
  </si>
  <si>
    <t>ULUCAMİ</t>
  </si>
  <si>
    <t>OSMAN AK</t>
  </si>
  <si>
    <t>SABRİ BALABAN</t>
  </si>
  <si>
    <t>ERKAN USLU</t>
  </si>
  <si>
    <t>AYŞE ACUN</t>
  </si>
  <si>
    <t>MUSTAFA ALİ BANAK</t>
  </si>
  <si>
    <t>MUAMMER DURGUT</t>
  </si>
  <si>
    <t>AHMET YAŞAR</t>
  </si>
  <si>
    <t>İDRİS SAYIN</t>
  </si>
  <si>
    <t>MEHMET GÜNALTAY</t>
  </si>
  <si>
    <t>GÖKSEL AK</t>
  </si>
  <si>
    <t>GÜLSÜM GÜNER</t>
  </si>
  <si>
    <t>ÇETİN TÜRKLER</t>
  </si>
  <si>
    <t>RASİM DUMAN</t>
  </si>
  <si>
    <t>MERYEM KAYA</t>
  </si>
  <si>
    <t>SEZGİN KILAVUZ</t>
  </si>
  <si>
    <t>MUSTAFA KORKMAZ</t>
  </si>
  <si>
    <t>BAHADIR DURGUT</t>
  </si>
  <si>
    <t>VEYSEL EFE</t>
  </si>
  <si>
    <t>ENVER ALPAY</t>
  </si>
  <si>
    <t>254503000061-1</t>
  </si>
  <si>
    <t>25385287112</t>
  </si>
  <si>
    <t>24473317540</t>
  </si>
  <si>
    <t>30383120392</t>
  </si>
  <si>
    <t>41686744178</t>
  </si>
  <si>
    <t>41347755130</t>
  </si>
  <si>
    <t>55774274348</t>
  </si>
  <si>
    <t>12571237952</t>
  </si>
  <si>
    <t>49312489820</t>
  </si>
  <si>
    <t>46156595540</t>
  </si>
  <si>
    <t>28643178986</t>
  </si>
  <si>
    <t>10889770550</t>
  </si>
  <si>
    <t>46177594812</t>
  </si>
  <si>
    <t>46849571622</t>
  </si>
  <si>
    <t>53815339322</t>
  </si>
  <si>
    <t>41026780064</t>
  </si>
  <si>
    <t>58711175678</t>
  </si>
  <si>
    <t>47626553480</t>
  </si>
  <si>
    <t>AK BAKKAL</t>
  </si>
  <si>
    <t>BALABAN GIDA</t>
  </si>
  <si>
    <t>ECE TEKEL</t>
  </si>
  <si>
    <t>ACUN BAKKAL</t>
  </si>
  <si>
    <t>BURAK MARKET</t>
  </si>
  <si>
    <t>YAŞAR MARKET</t>
  </si>
  <si>
    <t>HOCAOĞLU GIDA</t>
  </si>
  <si>
    <t>ÇINARLIKAPI KURUYEMİŞ</t>
  </si>
  <si>
    <t>BOLU YEM</t>
  </si>
  <si>
    <t>PİİZKOLOG  TEKEL</t>
  </si>
  <si>
    <t>ATA TAVUKÇULUK</t>
  </si>
  <si>
    <t>CADDE PASTANESİ</t>
  </si>
  <si>
    <t>KAYA KURUYEMİŞ</t>
  </si>
  <si>
    <t>BURAK GIDA</t>
  </si>
  <si>
    <t>LEZZET ETGALERİSİ</t>
  </si>
  <si>
    <t>DEMİR BAKKAL</t>
  </si>
  <si>
    <t>EFE KÖMÜRCÜLÜK</t>
  </si>
  <si>
    <t>ALPAY MARKET</t>
  </si>
  <si>
    <t>-</t>
  </si>
  <si>
    <t>Kapasite Birim(w3)</t>
  </si>
  <si>
    <t>Kapasite(w3)</t>
  </si>
  <si>
    <t>e(w3)</t>
  </si>
  <si>
    <t>d(w3)</t>
  </si>
  <si>
    <t>ONUR KARATAŞ</t>
  </si>
  <si>
    <t>Muay.Personel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</si>
</sst>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;@"/>
    <numFmt numFmtId="165" formatCode="[&lt;=9999999]###\-##\-##;\(###\)\ ###\-##\-##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sz val="10"/>
      <name val="Calibri"/>
      <family val="2"/>
      <charset val="162"/>
      <scheme val="minor"/>
    </font>
    <font>
      <sz val="10"/>
      <color theme="1"/>
      <name val="Calibri"/>
      <family val="2"/>
      <charset val="162"/>
      <scheme val="minor"/>
    </font>
    <font>
      <b/>
      <sz val="10"/>
      <color theme="1"/>
      <name val="Calibri"/>
      <family val="2"/>
      <charset val="162"/>
      <scheme val="minor"/>
    </font>
    <font>
      <b/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4">
    <xf numFmtId="0" fontId="0" fillId="0" borderId="0" xfId="0"/>
    <xf numFmtId="0" fontId="4" fillId="0" borderId="0" xfId="0" applyFont="1" applyAlignment="1">
      <alignment vertical="center"/>
    </xf>
    <xf numFmtId="49" fontId="3" fillId="0" borderId="1" xfId="0" applyNumberFormat="1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vertical="center" wrapText="1"/>
    </xf>
    <xf numFmtId="1" fontId="2" fillId="0" borderId="1" xfId="0" applyNumberFormat="1" applyFont="1" applyBorder="1" applyAlignment="1" applyProtection="1">
      <alignment horizontal="center" vertical="center"/>
      <protection hidden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7" fillId="0" borderId="0" xfId="0" applyFont="1"/>
    <xf numFmtId="0" fontId="2" fillId="0" borderId="0" xfId="0" applyFont="1" applyAlignment="1">
      <alignment horizontal="center" vertical="center"/>
    </xf>
    <xf numFmtId="49" fontId="3" fillId="3" borderId="0" xfId="0" applyNumberFormat="1" applyFont="1" applyFill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49" fontId="7" fillId="0" borderId="0" xfId="0" applyNumberFormat="1" applyFont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0" fontId="2" fillId="0" borderId="1" xfId="0" applyFont="1" applyBorder="1" applyAlignment="1">
      <alignment horizontal="center"/>
    </xf>
    <xf numFmtId="164" fontId="3" fillId="0" borderId="1" xfId="0" applyNumberFormat="1" applyFont="1" applyBorder="1" applyAlignment="1">
      <alignment horizontal="center" vertical="center"/>
    </xf>
    <xf numFmtId="164" fontId="3" fillId="3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0" fontId="7" fillId="0" borderId="1" xfId="0" quotePrefix="1" applyFont="1" applyBorder="1" applyAlignment="1">
      <alignment horizontal="center"/>
    </xf>
    <xf numFmtId="1" fontId="3" fillId="0" borderId="2" xfId="0" applyNumberFormat="1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</cellXfs>
  <cellStyles count="2">
    <cellStyle name="Normal" xfId="0" builtinId="0"/>
    <cellStyle name="Normal 2" xfId="1" xr:uid="{B4F38AC6-6354-4F09-B201-4B22CF64159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6"/>
  <sheetViews>
    <sheetView tabSelected="1" workbookViewId="0">
      <selection activeCell="E1" sqref="E1"/>
    </sheetView>
  </sheetViews>
  <sheetFormatPr defaultRowHeight="15.95" customHeight="1" x14ac:dyDescent="0.25"/>
  <cols>
    <col min="1" max="1" width="15.85546875" style="14" bestFit="1" customWidth="1"/>
    <col min="2" max="2" width="9.140625" style="15"/>
    <col min="3" max="3" width="10" style="24" bestFit="1" customWidth="1"/>
    <col min="4" max="4" width="10.85546875" style="18" bestFit="1" customWidth="1"/>
    <col min="5" max="5" width="12.42578125" style="18" bestFit="1" customWidth="1"/>
    <col min="6" max="6" width="31.7109375" style="14" bestFit="1" customWidth="1"/>
    <col min="7" max="7" width="12" style="16" bestFit="1" customWidth="1"/>
    <col min="8" max="8" width="22.85546875" style="16" bestFit="1" customWidth="1"/>
    <col min="9" max="9" width="22.85546875" style="16" customWidth="1"/>
    <col min="10" max="10" width="16" style="17" customWidth="1"/>
    <col min="11" max="11" width="16" style="18" customWidth="1"/>
    <col min="12" max="12" width="9.140625" style="19"/>
    <col min="13" max="13" width="9.140625" style="16"/>
    <col min="14" max="14" width="9.140625" style="20"/>
    <col min="15" max="15" width="44" style="21" customWidth="1"/>
    <col min="16" max="16" width="20.7109375" style="14" bestFit="1" customWidth="1"/>
    <col min="17" max="17" width="18.28515625" style="16" bestFit="1" customWidth="1"/>
    <col min="18" max="18" width="9.140625" style="16"/>
    <col min="19" max="19" width="12" style="18" bestFit="1" customWidth="1"/>
    <col min="20" max="20" width="9.140625" style="19"/>
    <col min="21" max="21" width="14.85546875" style="22" bestFit="1" customWidth="1"/>
    <col min="22" max="22" width="11.140625" style="23" bestFit="1" customWidth="1"/>
    <col min="23" max="24" width="9.140625" style="18"/>
    <col min="25" max="25" width="14.85546875" style="18" bestFit="1" customWidth="1"/>
    <col min="26" max="26" width="11.140625" style="18" bestFit="1" customWidth="1"/>
    <col min="27" max="28" width="9.140625" style="18"/>
    <col min="29" max="29" width="14.85546875" style="18" bestFit="1" customWidth="1"/>
    <col min="30" max="30" width="11.140625" style="18" bestFit="1" customWidth="1"/>
    <col min="31" max="32" width="9.140625" style="18"/>
  </cols>
  <sheetData>
    <row r="1" spans="1:32" s="1" customFormat="1" ht="21" customHeight="1" x14ac:dyDescent="0.25">
      <c r="A1" s="3" t="s">
        <v>22</v>
      </c>
      <c r="B1" s="3" t="s">
        <v>0</v>
      </c>
      <c r="C1" s="3" t="s">
        <v>1</v>
      </c>
      <c r="D1" s="3" t="s">
        <v>2</v>
      </c>
      <c r="E1" s="3" t="s">
        <v>215</v>
      </c>
      <c r="F1" s="3" t="s">
        <v>11</v>
      </c>
      <c r="G1" s="3" t="s">
        <v>36</v>
      </c>
      <c r="H1" s="3" t="s">
        <v>28</v>
      </c>
      <c r="I1" s="3" t="s">
        <v>27</v>
      </c>
      <c r="J1" s="3" t="s">
        <v>13</v>
      </c>
      <c r="K1" s="3" t="s">
        <v>30</v>
      </c>
      <c r="L1" s="3" t="s">
        <v>23</v>
      </c>
      <c r="M1" s="3" t="s">
        <v>24</v>
      </c>
      <c r="N1" s="3" t="s">
        <v>25</v>
      </c>
      <c r="O1" s="3" t="s">
        <v>29</v>
      </c>
      <c r="P1" s="3" t="s">
        <v>26</v>
      </c>
      <c r="Q1" s="3" t="s">
        <v>7</v>
      </c>
      <c r="R1" s="3" t="s">
        <v>9</v>
      </c>
      <c r="S1" s="3" t="s">
        <v>3</v>
      </c>
      <c r="T1" s="3" t="s">
        <v>10</v>
      </c>
      <c r="U1" s="3" t="s">
        <v>39</v>
      </c>
      <c r="V1" s="3" t="s">
        <v>16</v>
      </c>
      <c r="W1" s="3" t="s">
        <v>17</v>
      </c>
      <c r="X1" s="3" t="s">
        <v>18</v>
      </c>
      <c r="Y1" s="3" t="s">
        <v>40</v>
      </c>
      <c r="Z1" s="3" t="s">
        <v>19</v>
      </c>
      <c r="AA1" s="3" t="s">
        <v>20</v>
      </c>
      <c r="AB1" s="3" t="s">
        <v>21</v>
      </c>
      <c r="AC1" s="3" t="s">
        <v>210</v>
      </c>
      <c r="AD1" s="3" t="s">
        <v>211</v>
      </c>
      <c r="AE1" s="3" t="s">
        <v>212</v>
      </c>
      <c r="AF1" s="3" t="s">
        <v>213</v>
      </c>
    </row>
    <row r="2" spans="1:32" ht="15.95" customHeight="1" x14ac:dyDescent="0.25">
      <c r="A2" s="8" t="s">
        <v>4</v>
      </c>
      <c r="B2" s="10">
        <v>1</v>
      </c>
      <c r="C2" s="26" t="s">
        <v>31</v>
      </c>
      <c r="D2" s="26" t="s">
        <v>32</v>
      </c>
      <c r="E2" s="33" t="s">
        <v>214</v>
      </c>
      <c r="F2" s="9" t="s">
        <v>12</v>
      </c>
      <c r="G2" s="2" t="s">
        <v>34</v>
      </c>
      <c r="H2" s="2" t="s">
        <v>33</v>
      </c>
      <c r="I2" s="2" t="s">
        <v>33</v>
      </c>
      <c r="J2" s="13">
        <v>5369889268</v>
      </c>
      <c r="K2" s="31" t="s">
        <v>209</v>
      </c>
      <c r="L2" s="11" t="s">
        <v>35</v>
      </c>
      <c r="M2" s="2" t="s">
        <v>14</v>
      </c>
      <c r="N2" s="12" t="s">
        <v>15</v>
      </c>
      <c r="O2" s="6" t="s">
        <v>38</v>
      </c>
      <c r="P2" s="9" t="s">
        <v>6</v>
      </c>
      <c r="Q2" s="2" t="s">
        <v>8</v>
      </c>
      <c r="R2" s="2" t="s">
        <v>37</v>
      </c>
      <c r="S2" s="5" t="s">
        <v>5</v>
      </c>
      <c r="T2" s="28" t="s">
        <v>124</v>
      </c>
      <c r="U2" s="9" t="str">
        <f>IF(OR(T2="I",W2="II"),"g","kg")</f>
        <v>kg</v>
      </c>
      <c r="V2" s="4">
        <v>30</v>
      </c>
      <c r="W2" s="7">
        <v>0</v>
      </c>
      <c r="X2" s="7">
        <v>0</v>
      </c>
      <c r="Y2" s="9" t="str">
        <f>IF(OR(T2="I",AA2="II"),"g","kg")</f>
        <v>kg</v>
      </c>
      <c r="Z2" s="7">
        <v>0</v>
      </c>
      <c r="AA2" s="7">
        <v>0</v>
      </c>
      <c r="AB2" s="7">
        <v>0</v>
      </c>
      <c r="AC2" s="9" t="str">
        <f>IF(OR(X2="I",AE2="II"),"g","kg")</f>
        <v>kg</v>
      </c>
      <c r="AD2" s="7">
        <v>0</v>
      </c>
      <c r="AE2" s="7">
        <v>0</v>
      </c>
      <c r="AF2" s="7">
        <v>0</v>
      </c>
    </row>
    <row r="3" spans="1:32" ht="15.95" customHeight="1" x14ac:dyDescent="0.25">
      <c r="A3" s="8" t="s">
        <v>41</v>
      </c>
      <c r="B3" s="10">
        <v>2</v>
      </c>
      <c r="C3" s="26" t="s">
        <v>31</v>
      </c>
      <c r="D3" s="26" t="s">
        <v>64</v>
      </c>
      <c r="E3" s="33" t="s">
        <v>214</v>
      </c>
      <c r="F3" s="9" t="s">
        <v>154</v>
      </c>
      <c r="G3" s="2" t="s">
        <v>174</v>
      </c>
      <c r="H3" s="2" t="s">
        <v>191</v>
      </c>
      <c r="I3" s="2" t="s">
        <v>191</v>
      </c>
      <c r="J3" s="13">
        <v>5369776482</v>
      </c>
      <c r="K3" s="31" t="s">
        <v>209</v>
      </c>
      <c r="L3" s="11" t="s">
        <v>35</v>
      </c>
      <c r="M3" s="2" t="s">
        <v>14</v>
      </c>
      <c r="N3" s="12" t="s">
        <v>15</v>
      </c>
      <c r="O3" s="6" t="s">
        <v>129</v>
      </c>
      <c r="P3" s="9" t="s">
        <v>69</v>
      </c>
      <c r="Q3" s="2" t="s">
        <v>91</v>
      </c>
      <c r="R3" s="2" t="s">
        <v>114</v>
      </c>
      <c r="S3" s="5" t="s">
        <v>5</v>
      </c>
      <c r="T3" s="28" t="s">
        <v>124</v>
      </c>
      <c r="U3" s="9" t="str">
        <f t="shared" ref="U3:U26" si="0">IF(OR(W3="I",W3="II"),"g","kg")</f>
        <v>kg</v>
      </c>
      <c r="V3" s="2" t="s">
        <v>125</v>
      </c>
      <c r="W3" s="7">
        <v>0</v>
      </c>
      <c r="X3" s="7">
        <v>0</v>
      </c>
      <c r="Y3" s="9" t="str">
        <f t="shared" ref="Y3:Y26" si="1">IF(OR(AA3="I",AA3="II"),"g","kg")</f>
        <v>kg</v>
      </c>
      <c r="Z3" s="7">
        <v>0</v>
      </c>
      <c r="AA3" s="7">
        <v>0</v>
      </c>
      <c r="AB3" s="7">
        <v>0</v>
      </c>
      <c r="AC3" s="9" t="str">
        <f t="shared" ref="AC3:AC26" si="2">IF(OR(AE3="I",AE3="II"),"g","kg")</f>
        <v>kg</v>
      </c>
      <c r="AD3" s="7">
        <v>0</v>
      </c>
      <c r="AE3" s="7">
        <v>0</v>
      </c>
      <c r="AF3" s="7">
        <v>0</v>
      </c>
    </row>
    <row r="4" spans="1:32" ht="15.95" customHeight="1" x14ac:dyDescent="0.25">
      <c r="A4" s="8" t="s">
        <v>42</v>
      </c>
      <c r="B4" s="10">
        <v>3</v>
      </c>
      <c r="C4" s="26" t="s">
        <v>66</v>
      </c>
      <c r="D4" s="26" t="s">
        <v>64</v>
      </c>
      <c r="E4" s="33" t="s">
        <v>214</v>
      </c>
      <c r="F4" s="9" t="s">
        <v>155</v>
      </c>
      <c r="G4" s="2" t="s">
        <v>175</v>
      </c>
      <c r="H4" s="2" t="s">
        <v>192</v>
      </c>
      <c r="I4" s="2" t="s">
        <v>192</v>
      </c>
      <c r="J4" s="13">
        <v>5426217585</v>
      </c>
      <c r="K4" s="31" t="s">
        <v>209</v>
      </c>
      <c r="L4" s="11" t="s">
        <v>35</v>
      </c>
      <c r="M4" s="2" t="s">
        <v>14</v>
      </c>
      <c r="N4" s="12" t="s">
        <v>15</v>
      </c>
      <c r="O4" s="6" t="s">
        <v>130</v>
      </c>
      <c r="P4" s="9" t="s">
        <v>70</v>
      </c>
      <c r="Q4" s="2" t="s">
        <v>92</v>
      </c>
      <c r="R4" s="2" t="s">
        <v>115</v>
      </c>
      <c r="S4" s="5" t="s">
        <v>5</v>
      </c>
      <c r="T4" s="28" t="s">
        <v>124</v>
      </c>
      <c r="U4" s="9" t="str">
        <f t="shared" si="0"/>
        <v>kg</v>
      </c>
      <c r="V4" s="2" t="s">
        <v>125</v>
      </c>
      <c r="W4" s="7">
        <v>0</v>
      </c>
      <c r="X4" s="7">
        <v>0</v>
      </c>
      <c r="Y4" s="9" t="str">
        <f t="shared" si="1"/>
        <v>kg</v>
      </c>
      <c r="Z4" s="7">
        <v>0</v>
      </c>
      <c r="AA4" s="7">
        <v>0</v>
      </c>
      <c r="AB4" s="7">
        <v>0</v>
      </c>
      <c r="AC4" s="9" t="str">
        <f t="shared" si="2"/>
        <v>kg</v>
      </c>
      <c r="AD4" s="7">
        <v>0</v>
      </c>
      <c r="AE4" s="7">
        <v>0</v>
      </c>
      <c r="AF4" s="7">
        <v>0</v>
      </c>
    </row>
    <row r="5" spans="1:32" ht="15.95" customHeight="1" x14ac:dyDescent="0.25">
      <c r="A5" s="8" t="s">
        <v>43</v>
      </c>
      <c r="B5" s="10">
        <v>4</v>
      </c>
      <c r="C5" s="27" t="s">
        <v>31</v>
      </c>
      <c r="D5" s="27" t="s">
        <v>64</v>
      </c>
      <c r="E5" s="33" t="s">
        <v>214</v>
      </c>
      <c r="F5" s="28" t="s">
        <v>156</v>
      </c>
      <c r="G5" s="12" t="s">
        <v>176</v>
      </c>
      <c r="H5" s="2" t="s">
        <v>193</v>
      </c>
      <c r="I5" s="2" t="s">
        <v>193</v>
      </c>
      <c r="J5" s="13">
        <v>5454884981</v>
      </c>
      <c r="K5" s="31" t="s">
        <v>209</v>
      </c>
      <c r="L5" s="11" t="s">
        <v>35</v>
      </c>
      <c r="M5" s="12" t="s">
        <v>14</v>
      </c>
      <c r="N5" s="12" t="s">
        <v>15</v>
      </c>
      <c r="O5" s="6" t="s">
        <v>131</v>
      </c>
      <c r="P5" s="28" t="s">
        <v>71</v>
      </c>
      <c r="Q5" s="12" t="s">
        <v>93</v>
      </c>
      <c r="R5" s="12" t="s">
        <v>114</v>
      </c>
      <c r="S5" s="5" t="s">
        <v>5</v>
      </c>
      <c r="T5" s="28" t="s">
        <v>124</v>
      </c>
      <c r="U5" s="9" t="str">
        <f t="shared" si="0"/>
        <v>kg</v>
      </c>
      <c r="V5" s="2" t="s">
        <v>125</v>
      </c>
      <c r="W5" s="7">
        <v>0</v>
      </c>
      <c r="X5" s="7">
        <v>0</v>
      </c>
      <c r="Y5" s="9" t="str">
        <f t="shared" si="1"/>
        <v>kg</v>
      </c>
      <c r="Z5" s="7">
        <v>0</v>
      </c>
      <c r="AA5" s="7">
        <v>0</v>
      </c>
      <c r="AB5" s="7">
        <v>0</v>
      </c>
      <c r="AC5" s="9" t="str">
        <f t="shared" si="2"/>
        <v>kg</v>
      </c>
      <c r="AD5" s="7">
        <v>0</v>
      </c>
      <c r="AE5" s="7">
        <v>0</v>
      </c>
      <c r="AF5" s="7">
        <v>0</v>
      </c>
    </row>
    <row r="6" spans="1:32" ht="15.95" customHeight="1" x14ac:dyDescent="0.25">
      <c r="A6" s="8" t="s">
        <v>44</v>
      </c>
      <c r="B6" s="10">
        <v>5</v>
      </c>
      <c r="C6" s="27" t="s">
        <v>31</v>
      </c>
      <c r="D6" s="27" t="s">
        <v>64</v>
      </c>
      <c r="E6" s="33" t="s">
        <v>214</v>
      </c>
      <c r="F6" s="28" t="s">
        <v>157</v>
      </c>
      <c r="G6" s="12" t="s">
        <v>177</v>
      </c>
      <c r="H6" s="2" t="s">
        <v>194</v>
      </c>
      <c r="I6" s="2" t="s">
        <v>194</v>
      </c>
      <c r="J6" s="13">
        <v>5539326075</v>
      </c>
      <c r="K6" s="31" t="s">
        <v>209</v>
      </c>
      <c r="L6" s="11" t="s">
        <v>35</v>
      </c>
      <c r="M6" s="12" t="s">
        <v>14</v>
      </c>
      <c r="N6" s="12" t="s">
        <v>15</v>
      </c>
      <c r="O6" s="6" t="s">
        <v>132</v>
      </c>
      <c r="P6" s="28" t="s">
        <v>72</v>
      </c>
      <c r="Q6" s="12" t="s">
        <v>94</v>
      </c>
      <c r="R6" s="12" t="s">
        <v>116</v>
      </c>
      <c r="S6" s="5" t="s">
        <v>5</v>
      </c>
      <c r="T6" s="28" t="s">
        <v>124</v>
      </c>
      <c r="U6" s="9" t="str">
        <f t="shared" si="0"/>
        <v>kg</v>
      </c>
      <c r="V6" s="2" t="s">
        <v>125</v>
      </c>
      <c r="W6" s="7">
        <v>0</v>
      </c>
      <c r="X6" s="7">
        <v>0</v>
      </c>
      <c r="Y6" s="9" t="str">
        <f t="shared" si="1"/>
        <v>kg</v>
      </c>
      <c r="Z6" s="7">
        <v>0</v>
      </c>
      <c r="AA6" s="7">
        <v>0</v>
      </c>
      <c r="AB6" s="7">
        <v>0</v>
      </c>
      <c r="AC6" s="9" t="str">
        <f t="shared" si="2"/>
        <v>kg</v>
      </c>
      <c r="AD6" s="7">
        <v>0</v>
      </c>
      <c r="AE6" s="7">
        <v>0</v>
      </c>
      <c r="AF6" s="7">
        <v>0</v>
      </c>
    </row>
    <row r="7" spans="1:32" ht="15.95" customHeight="1" x14ac:dyDescent="0.25">
      <c r="A7" s="8" t="s">
        <v>45</v>
      </c>
      <c r="B7" s="10">
        <v>6</v>
      </c>
      <c r="C7" s="27" t="s">
        <v>64</v>
      </c>
      <c r="D7" s="27" t="s">
        <v>64</v>
      </c>
      <c r="E7" s="33" t="s">
        <v>214</v>
      </c>
      <c r="F7" s="28" t="s">
        <v>158</v>
      </c>
      <c r="G7" s="12" t="s">
        <v>178</v>
      </c>
      <c r="H7" s="2" t="s">
        <v>158</v>
      </c>
      <c r="I7" s="2" t="s">
        <v>158</v>
      </c>
      <c r="J7" s="13">
        <v>5353745397</v>
      </c>
      <c r="K7" s="31" t="s">
        <v>209</v>
      </c>
      <c r="L7" s="11" t="s">
        <v>35</v>
      </c>
      <c r="M7" s="2" t="s">
        <v>14</v>
      </c>
      <c r="N7" s="12" t="s">
        <v>15</v>
      </c>
      <c r="O7" s="6" t="s">
        <v>133</v>
      </c>
      <c r="P7" s="9" t="s">
        <v>73</v>
      </c>
      <c r="Q7" s="12" t="s">
        <v>95</v>
      </c>
      <c r="R7" s="12" t="s">
        <v>117</v>
      </c>
      <c r="S7" s="5" t="s">
        <v>5</v>
      </c>
      <c r="T7" s="28" t="s">
        <v>124</v>
      </c>
      <c r="U7" s="9" t="str">
        <f t="shared" si="0"/>
        <v>kg</v>
      </c>
      <c r="V7" s="2" t="s">
        <v>125</v>
      </c>
      <c r="W7" s="7">
        <v>0</v>
      </c>
      <c r="X7" s="7">
        <v>0</v>
      </c>
      <c r="Y7" s="9" t="str">
        <f t="shared" si="1"/>
        <v>kg</v>
      </c>
      <c r="Z7" s="7">
        <v>0</v>
      </c>
      <c r="AA7" s="7">
        <v>0</v>
      </c>
      <c r="AB7" s="7">
        <v>0</v>
      </c>
      <c r="AC7" s="9" t="str">
        <f t="shared" si="2"/>
        <v>kg</v>
      </c>
      <c r="AD7" s="7">
        <v>0</v>
      </c>
      <c r="AE7" s="7">
        <v>0</v>
      </c>
      <c r="AF7" s="7">
        <v>0</v>
      </c>
    </row>
    <row r="8" spans="1:32" ht="15.95" customHeight="1" x14ac:dyDescent="0.25">
      <c r="A8" s="8" t="s">
        <v>46</v>
      </c>
      <c r="B8" s="10">
        <v>7</v>
      </c>
      <c r="C8" s="27" t="s">
        <v>64</v>
      </c>
      <c r="D8" s="27" t="s">
        <v>64</v>
      </c>
      <c r="E8" s="33" t="s">
        <v>214</v>
      </c>
      <c r="F8" s="28" t="s">
        <v>159</v>
      </c>
      <c r="G8" s="12" t="s">
        <v>179</v>
      </c>
      <c r="H8" s="2" t="s">
        <v>195</v>
      </c>
      <c r="I8" s="2" t="s">
        <v>195</v>
      </c>
      <c r="J8" s="13">
        <v>5423640705</v>
      </c>
      <c r="K8" s="31" t="s">
        <v>209</v>
      </c>
      <c r="L8" s="11" t="s">
        <v>35</v>
      </c>
      <c r="M8" s="12" t="s">
        <v>14</v>
      </c>
      <c r="N8" s="12" t="s">
        <v>15</v>
      </c>
      <c r="O8" s="6" t="s">
        <v>134</v>
      </c>
      <c r="P8" s="28" t="s">
        <v>74</v>
      </c>
      <c r="Q8" s="12" t="s">
        <v>96</v>
      </c>
      <c r="R8" s="12" t="s">
        <v>118</v>
      </c>
      <c r="S8" s="5" t="s">
        <v>5</v>
      </c>
      <c r="T8" s="28" t="s">
        <v>124</v>
      </c>
      <c r="U8" s="9" t="str">
        <f t="shared" si="0"/>
        <v>kg</v>
      </c>
      <c r="V8" s="2" t="s">
        <v>125</v>
      </c>
      <c r="W8" s="7">
        <v>0</v>
      </c>
      <c r="X8" s="7">
        <v>0</v>
      </c>
      <c r="Y8" s="9" t="str">
        <f t="shared" si="1"/>
        <v>kg</v>
      </c>
      <c r="Z8" s="7">
        <v>0</v>
      </c>
      <c r="AA8" s="7">
        <v>0</v>
      </c>
      <c r="AB8" s="7">
        <v>0</v>
      </c>
      <c r="AC8" s="9" t="str">
        <f t="shared" si="2"/>
        <v>kg</v>
      </c>
      <c r="AD8" s="7">
        <v>0</v>
      </c>
      <c r="AE8" s="7">
        <v>0</v>
      </c>
      <c r="AF8" s="7">
        <v>0</v>
      </c>
    </row>
    <row r="9" spans="1:32" ht="15.95" customHeight="1" x14ac:dyDescent="0.25">
      <c r="A9" s="8" t="s">
        <v>47</v>
      </c>
      <c r="B9" s="10">
        <v>8</v>
      </c>
      <c r="C9" s="27" t="s">
        <v>64</v>
      </c>
      <c r="D9" s="27" t="s">
        <v>67</v>
      </c>
      <c r="E9" s="33" t="s">
        <v>214</v>
      </c>
      <c r="F9" s="28" t="s">
        <v>160</v>
      </c>
      <c r="G9" s="12" t="s">
        <v>180</v>
      </c>
      <c r="H9" s="2" t="s">
        <v>196</v>
      </c>
      <c r="I9" s="2" t="s">
        <v>196</v>
      </c>
      <c r="J9" s="13">
        <v>5421005045</v>
      </c>
      <c r="K9" s="31" t="s">
        <v>209</v>
      </c>
      <c r="L9" s="11" t="s">
        <v>35</v>
      </c>
      <c r="M9" s="2" t="s">
        <v>14</v>
      </c>
      <c r="N9" s="12" t="s">
        <v>15</v>
      </c>
      <c r="O9" s="6" t="s">
        <v>135</v>
      </c>
      <c r="P9" s="28" t="s">
        <v>75</v>
      </c>
      <c r="Q9" s="12" t="s">
        <v>97</v>
      </c>
      <c r="R9" s="12" t="s">
        <v>116</v>
      </c>
      <c r="S9" s="5" t="s">
        <v>5</v>
      </c>
      <c r="T9" s="28" t="s">
        <v>124</v>
      </c>
      <c r="U9" s="9" t="str">
        <f t="shared" si="0"/>
        <v>kg</v>
      </c>
      <c r="V9" s="2" t="s">
        <v>125</v>
      </c>
      <c r="W9" s="7">
        <v>0</v>
      </c>
      <c r="X9" s="7">
        <v>0</v>
      </c>
      <c r="Y9" s="9" t="str">
        <f t="shared" si="1"/>
        <v>kg</v>
      </c>
      <c r="Z9" s="7">
        <v>0</v>
      </c>
      <c r="AA9" s="7">
        <v>0</v>
      </c>
      <c r="AB9" s="7">
        <v>0</v>
      </c>
      <c r="AC9" s="9" t="str">
        <f t="shared" si="2"/>
        <v>kg</v>
      </c>
      <c r="AD9" s="7">
        <v>0</v>
      </c>
      <c r="AE9" s="7">
        <v>0</v>
      </c>
      <c r="AF9" s="7">
        <v>0</v>
      </c>
    </row>
    <row r="10" spans="1:32" ht="15.95" customHeight="1" x14ac:dyDescent="0.25">
      <c r="A10" s="8" t="s">
        <v>48</v>
      </c>
      <c r="B10" s="10">
        <v>9</v>
      </c>
      <c r="C10" s="27" t="s">
        <v>64</v>
      </c>
      <c r="D10" s="27" t="s">
        <v>64</v>
      </c>
      <c r="E10" s="33" t="s">
        <v>214</v>
      </c>
      <c r="F10" s="28" t="s">
        <v>161</v>
      </c>
      <c r="G10" s="12" t="s">
        <v>181</v>
      </c>
      <c r="H10" s="2" t="s">
        <v>197</v>
      </c>
      <c r="I10" s="2" t="s">
        <v>197</v>
      </c>
      <c r="J10" s="13">
        <v>5358255037</v>
      </c>
      <c r="K10" s="31" t="s">
        <v>209</v>
      </c>
      <c r="L10" s="11" t="s">
        <v>35</v>
      </c>
      <c r="M10" s="12" t="s">
        <v>14</v>
      </c>
      <c r="N10" s="12" t="s">
        <v>15</v>
      </c>
      <c r="O10" s="6" t="s">
        <v>136</v>
      </c>
      <c r="P10" s="28" t="s">
        <v>76</v>
      </c>
      <c r="Q10" s="12" t="s">
        <v>98</v>
      </c>
      <c r="R10" s="12" t="s">
        <v>119</v>
      </c>
      <c r="S10" s="5" t="s">
        <v>5</v>
      </c>
      <c r="T10" s="28" t="s">
        <v>124</v>
      </c>
      <c r="U10" s="9" t="str">
        <f t="shared" si="0"/>
        <v>kg</v>
      </c>
      <c r="V10" s="2" t="s">
        <v>125</v>
      </c>
      <c r="W10" s="7">
        <v>0</v>
      </c>
      <c r="X10" s="7">
        <v>0</v>
      </c>
      <c r="Y10" s="9" t="str">
        <f t="shared" si="1"/>
        <v>kg</v>
      </c>
      <c r="Z10" s="7">
        <v>0</v>
      </c>
      <c r="AA10" s="7">
        <v>0</v>
      </c>
      <c r="AB10" s="7">
        <v>0</v>
      </c>
      <c r="AC10" s="9" t="str">
        <f t="shared" si="2"/>
        <v>kg</v>
      </c>
      <c r="AD10" s="7">
        <v>0</v>
      </c>
      <c r="AE10" s="7">
        <v>0</v>
      </c>
      <c r="AF10" s="7">
        <v>0</v>
      </c>
    </row>
    <row r="11" spans="1:32" ht="15.95" customHeight="1" x14ac:dyDescent="0.25">
      <c r="A11" s="8" t="s">
        <v>49</v>
      </c>
      <c r="B11" s="10">
        <v>10</v>
      </c>
      <c r="C11" s="27" t="s">
        <v>64</v>
      </c>
      <c r="D11" s="27" t="s">
        <v>64</v>
      </c>
      <c r="E11" s="33" t="s">
        <v>214</v>
      </c>
      <c r="F11" s="28" t="s">
        <v>161</v>
      </c>
      <c r="G11" s="12" t="s">
        <v>181</v>
      </c>
      <c r="H11" s="2" t="s">
        <v>197</v>
      </c>
      <c r="I11" s="2" t="s">
        <v>197</v>
      </c>
      <c r="J11" s="13">
        <v>5358255037</v>
      </c>
      <c r="K11" s="31" t="s">
        <v>209</v>
      </c>
      <c r="L11" s="11" t="s">
        <v>35</v>
      </c>
      <c r="M11" s="12" t="s">
        <v>14</v>
      </c>
      <c r="N11" s="12" t="s">
        <v>15</v>
      </c>
      <c r="O11" s="6" t="s">
        <v>137</v>
      </c>
      <c r="P11" s="28" t="s">
        <v>77</v>
      </c>
      <c r="Q11" s="12" t="s">
        <v>99</v>
      </c>
      <c r="R11" s="12" t="s">
        <v>116</v>
      </c>
      <c r="S11" s="5" t="s">
        <v>5</v>
      </c>
      <c r="T11" s="28" t="s">
        <v>124</v>
      </c>
      <c r="U11" s="9" t="str">
        <f t="shared" si="0"/>
        <v>kg</v>
      </c>
      <c r="V11" s="2" t="s">
        <v>125</v>
      </c>
      <c r="W11" s="7">
        <v>0</v>
      </c>
      <c r="X11" s="7">
        <v>0</v>
      </c>
      <c r="Y11" s="9" t="str">
        <f t="shared" si="1"/>
        <v>kg</v>
      </c>
      <c r="Z11" s="7">
        <v>0</v>
      </c>
      <c r="AA11" s="7">
        <v>0</v>
      </c>
      <c r="AB11" s="7">
        <v>0</v>
      </c>
      <c r="AC11" s="9" t="str">
        <f t="shared" si="2"/>
        <v>kg</v>
      </c>
      <c r="AD11" s="7">
        <v>0</v>
      </c>
      <c r="AE11" s="7">
        <v>0</v>
      </c>
      <c r="AF11" s="7">
        <v>0</v>
      </c>
    </row>
    <row r="12" spans="1:32" ht="15.95" customHeight="1" x14ac:dyDescent="0.25">
      <c r="A12" s="8" t="s">
        <v>50</v>
      </c>
      <c r="B12" s="10">
        <v>11</v>
      </c>
      <c r="C12" s="27" t="s">
        <v>64</v>
      </c>
      <c r="D12" s="27" t="s">
        <v>64</v>
      </c>
      <c r="E12" s="33" t="s">
        <v>214</v>
      </c>
      <c r="F12" s="28" t="s">
        <v>162</v>
      </c>
      <c r="G12" s="12" t="s">
        <v>182</v>
      </c>
      <c r="H12" s="2" t="s">
        <v>198</v>
      </c>
      <c r="I12" s="2" t="s">
        <v>198</v>
      </c>
      <c r="J12" s="13">
        <v>5348253535</v>
      </c>
      <c r="K12" s="31" t="s">
        <v>209</v>
      </c>
      <c r="L12" s="11" t="s">
        <v>35</v>
      </c>
      <c r="M12" s="12" t="s">
        <v>14</v>
      </c>
      <c r="N12" s="12" t="s">
        <v>15</v>
      </c>
      <c r="O12" s="6" t="s">
        <v>138</v>
      </c>
      <c r="P12" s="28" t="s">
        <v>78</v>
      </c>
      <c r="Q12" s="12" t="s">
        <v>100</v>
      </c>
      <c r="R12" s="12" t="s">
        <v>120</v>
      </c>
      <c r="S12" s="5" t="s">
        <v>5</v>
      </c>
      <c r="T12" s="28" t="s">
        <v>124</v>
      </c>
      <c r="U12" s="9" t="str">
        <f t="shared" si="0"/>
        <v>kg</v>
      </c>
      <c r="V12" s="2" t="s">
        <v>126</v>
      </c>
      <c r="W12" s="7">
        <v>0</v>
      </c>
      <c r="X12" s="7">
        <v>0</v>
      </c>
      <c r="Y12" s="9" t="str">
        <f t="shared" si="1"/>
        <v>kg</v>
      </c>
      <c r="Z12" s="7">
        <v>0</v>
      </c>
      <c r="AA12" s="7">
        <v>0</v>
      </c>
      <c r="AB12" s="7">
        <v>0</v>
      </c>
      <c r="AC12" s="9" t="str">
        <f t="shared" si="2"/>
        <v>kg</v>
      </c>
      <c r="AD12" s="7">
        <v>0</v>
      </c>
      <c r="AE12" s="7">
        <v>0</v>
      </c>
      <c r="AF12" s="7">
        <v>0</v>
      </c>
    </row>
    <row r="13" spans="1:32" ht="15.95" customHeight="1" x14ac:dyDescent="0.25">
      <c r="A13" s="8" t="s">
        <v>51</v>
      </c>
      <c r="B13" s="10">
        <v>12</v>
      </c>
      <c r="C13" s="27" t="s">
        <v>64</v>
      </c>
      <c r="D13" s="27" t="s">
        <v>64</v>
      </c>
      <c r="E13" s="33" t="s">
        <v>214</v>
      </c>
      <c r="F13" s="28" t="s">
        <v>162</v>
      </c>
      <c r="G13" s="12" t="s">
        <v>182</v>
      </c>
      <c r="H13" s="2" t="s">
        <v>198</v>
      </c>
      <c r="I13" s="2" t="s">
        <v>198</v>
      </c>
      <c r="J13" s="13">
        <v>5348253535</v>
      </c>
      <c r="K13" s="31" t="s">
        <v>209</v>
      </c>
      <c r="L13" s="11" t="s">
        <v>35</v>
      </c>
      <c r="M13" s="12" t="s">
        <v>14</v>
      </c>
      <c r="N13" s="12" t="s">
        <v>15</v>
      </c>
      <c r="O13" s="6" t="s">
        <v>139</v>
      </c>
      <c r="P13" s="28" t="s">
        <v>78</v>
      </c>
      <c r="Q13" s="12" t="s">
        <v>101</v>
      </c>
      <c r="R13" s="12" t="s">
        <v>120</v>
      </c>
      <c r="S13" s="5" t="s">
        <v>5</v>
      </c>
      <c r="T13" s="28" t="s">
        <v>124</v>
      </c>
      <c r="U13" s="9" t="str">
        <f t="shared" si="0"/>
        <v>kg</v>
      </c>
      <c r="V13" s="2" t="s">
        <v>125</v>
      </c>
      <c r="W13" s="7">
        <v>0</v>
      </c>
      <c r="X13" s="7">
        <v>0</v>
      </c>
      <c r="Y13" s="9" t="str">
        <f t="shared" si="1"/>
        <v>kg</v>
      </c>
      <c r="Z13" s="7">
        <v>0</v>
      </c>
      <c r="AA13" s="7">
        <v>0</v>
      </c>
      <c r="AB13" s="7">
        <v>0</v>
      </c>
      <c r="AC13" s="9" t="str">
        <f t="shared" si="2"/>
        <v>kg</v>
      </c>
      <c r="AD13" s="7">
        <v>0</v>
      </c>
      <c r="AE13" s="7">
        <v>0</v>
      </c>
      <c r="AF13" s="7">
        <v>0</v>
      </c>
    </row>
    <row r="14" spans="1:32" ht="15.95" customHeight="1" x14ac:dyDescent="0.25">
      <c r="A14" s="8" t="s">
        <v>52</v>
      </c>
      <c r="B14" s="10">
        <v>13</v>
      </c>
      <c r="C14" s="27" t="s">
        <v>64</v>
      </c>
      <c r="D14" s="27" t="s">
        <v>64</v>
      </c>
      <c r="E14" s="33" t="s">
        <v>214</v>
      </c>
      <c r="F14" s="28" t="s">
        <v>162</v>
      </c>
      <c r="G14" s="12" t="s">
        <v>182</v>
      </c>
      <c r="H14" s="2" t="s">
        <v>198</v>
      </c>
      <c r="I14" s="2" t="s">
        <v>198</v>
      </c>
      <c r="J14" s="13">
        <v>5348253535</v>
      </c>
      <c r="K14" s="31" t="s">
        <v>209</v>
      </c>
      <c r="L14" s="11" t="s">
        <v>35</v>
      </c>
      <c r="M14" s="12" t="s">
        <v>14</v>
      </c>
      <c r="N14" s="12" t="s">
        <v>15</v>
      </c>
      <c r="O14" s="6" t="s">
        <v>140</v>
      </c>
      <c r="P14" s="28" t="s">
        <v>79</v>
      </c>
      <c r="Q14" s="2" t="s">
        <v>102</v>
      </c>
      <c r="R14" s="12" t="s">
        <v>121</v>
      </c>
      <c r="S14" s="5" t="s">
        <v>5</v>
      </c>
      <c r="T14" s="28" t="s">
        <v>124</v>
      </c>
      <c r="U14" s="9" t="str">
        <f t="shared" si="0"/>
        <v>kg</v>
      </c>
      <c r="V14" s="2" t="s">
        <v>125</v>
      </c>
      <c r="W14" s="7">
        <v>0</v>
      </c>
      <c r="X14" s="7">
        <v>0</v>
      </c>
      <c r="Y14" s="9" t="str">
        <f t="shared" si="1"/>
        <v>kg</v>
      </c>
      <c r="Z14" s="7">
        <v>0</v>
      </c>
      <c r="AA14" s="7">
        <v>0</v>
      </c>
      <c r="AB14" s="7">
        <v>0</v>
      </c>
      <c r="AC14" s="9" t="str">
        <f t="shared" si="2"/>
        <v>kg</v>
      </c>
      <c r="AD14" s="7">
        <v>0</v>
      </c>
      <c r="AE14" s="7">
        <v>0</v>
      </c>
      <c r="AF14" s="7">
        <v>0</v>
      </c>
    </row>
    <row r="15" spans="1:32" ht="15.95" customHeight="1" x14ac:dyDescent="0.25">
      <c r="A15" s="8" t="s">
        <v>53</v>
      </c>
      <c r="B15" s="10">
        <v>14</v>
      </c>
      <c r="C15" s="26" t="s">
        <v>64</v>
      </c>
      <c r="D15" s="26" t="s">
        <v>67</v>
      </c>
      <c r="E15" s="33" t="s">
        <v>214</v>
      </c>
      <c r="F15" s="9" t="s">
        <v>163</v>
      </c>
      <c r="G15" s="2" t="s">
        <v>183</v>
      </c>
      <c r="H15" s="2" t="s">
        <v>199</v>
      </c>
      <c r="I15" s="2" t="s">
        <v>199</v>
      </c>
      <c r="J15" s="13">
        <v>5068382430</v>
      </c>
      <c r="K15" s="31" t="s">
        <v>209</v>
      </c>
      <c r="L15" s="11" t="s">
        <v>35</v>
      </c>
      <c r="M15" s="2" t="s">
        <v>14</v>
      </c>
      <c r="N15" s="12" t="s">
        <v>15</v>
      </c>
      <c r="O15" s="6" t="s">
        <v>141</v>
      </c>
      <c r="P15" s="9" t="s">
        <v>80</v>
      </c>
      <c r="Q15" s="2" t="s">
        <v>103</v>
      </c>
      <c r="R15" s="2" t="s">
        <v>121</v>
      </c>
      <c r="S15" s="5" t="s">
        <v>5</v>
      </c>
      <c r="T15" s="28" t="s">
        <v>124</v>
      </c>
      <c r="U15" s="9" t="str">
        <f t="shared" si="0"/>
        <v>kg</v>
      </c>
      <c r="V15" s="2">
        <v>15</v>
      </c>
      <c r="W15" s="7">
        <v>0</v>
      </c>
      <c r="X15" s="7">
        <v>0</v>
      </c>
      <c r="Y15" s="9" t="str">
        <f t="shared" si="1"/>
        <v>kg</v>
      </c>
      <c r="Z15" s="7">
        <v>0</v>
      </c>
      <c r="AA15" s="7">
        <v>0</v>
      </c>
      <c r="AB15" s="7">
        <v>0</v>
      </c>
      <c r="AC15" s="9" t="str">
        <f t="shared" si="2"/>
        <v>kg</v>
      </c>
      <c r="AD15" s="7">
        <v>0</v>
      </c>
      <c r="AE15" s="7">
        <v>0</v>
      </c>
      <c r="AF15" s="7">
        <v>0</v>
      </c>
    </row>
    <row r="16" spans="1:32" ht="15.95" customHeight="1" x14ac:dyDescent="0.25">
      <c r="A16" s="25" t="s">
        <v>54</v>
      </c>
      <c r="B16" s="10">
        <v>15</v>
      </c>
      <c r="C16" s="27" t="s">
        <v>64</v>
      </c>
      <c r="D16" s="27" t="s">
        <v>68</v>
      </c>
      <c r="E16" s="33" t="s">
        <v>214</v>
      </c>
      <c r="F16" s="28" t="s">
        <v>164</v>
      </c>
      <c r="G16" s="12" t="s">
        <v>184</v>
      </c>
      <c r="H16" s="2" t="s">
        <v>200</v>
      </c>
      <c r="I16" s="2" t="s">
        <v>200</v>
      </c>
      <c r="J16" s="13">
        <v>5190755643</v>
      </c>
      <c r="K16" s="31" t="s">
        <v>209</v>
      </c>
      <c r="L16" s="11" t="s">
        <v>35</v>
      </c>
      <c r="M16" s="12" t="s">
        <v>14</v>
      </c>
      <c r="N16" s="12" t="s">
        <v>153</v>
      </c>
      <c r="O16" s="6" t="s">
        <v>142</v>
      </c>
      <c r="P16" s="28" t="s">
        <v>81</v>
      </c>
      <c r="Q16" s="12" t="s">
        <v>104</v>
      </c>
      <c r="R16" s="12" t="s">
        <v>121</v>
      </c>
      <c r="S16" s="5" t="s">
        <v>5</v>
      </c>
      <c r="T16" s="28" t="s">
        <v>124</v>
      </c>
      <c r="U16" s="9" t="str">
        <f t="shared" si="0"/>
        <v>kg</v>
      </c>
      <c r="V16" s="2">
        <v>150</v>
      </c>
      <c r="W16" s="7">
        <v>0</v>
      </c>
      <c r="X16" s="7">
        <v>0</v>
      </c>
      <c r="Y16" s="9" t="str">
        <f t="shared" si="1"/>
        <v>kg</v>
      </c>
      <c r="Z16" s="7">
        <v>0</v>
      </c>
      <c r="AA16" s="7">
        <v>0</v>
      </c>
      <c r="AB16" s="7">
        <v>0</v>
      </c>
      <c r="AC16" s="9" t="str">
        <f t="shared" si="2"/>
        <v>kg</v>
      </c>
      <c r="AD16" s="7">
        <v>0</v>
      </c>
      <c r="AE16" s="7">
        <v>0</v>
      </c>
      <c r="AF16" s="7">
        <v>0</v>
      </c>
    </row>
    <row r="17" spans="1:32" ht="15.95" customHeight="1" x14ac:dyDescent="0.25">
      <c r="A17" s="8" t="s">
        <v>55</v>
      </c>
      <c r="B17" s="10">
        <v>16</v>
      </c>
      <c r="C17" s="27" t="s">
        <v>64</v>
      </c>
      <c r="D17" s="27" t="s">
        <v>64</v>
      </c>
      <c r="E17" s="33" t="s">
        <v>214</v>
      </c>
      <c r="F17" s="28" t="s">
        <v>165</v>
      </c>
      <c r="G17" s="12" t="s">
        <v>105</v>
      </c>
      <c r="H17" s="2" t="s">
        <v>201</v>
      </c>
      <c r="I17" s="2" t="s">
        <v>201</v>
      </c>
      <c r="J17" s="13">
        <v>5518847629</v>
      </c>
      <c r="K17" s="31" t="s">
        <v>209</v>
      </c>
      <c r="L17" s="11" t="s">
        <v>35</v>
      </c>
      <c r="M17" s="2" t="s">
        <v>14</v>
      </c>
      <c r="N17" s="12" t="s">
        <v>15</v>
      </c>
      <c r="O17" s="6" t="s">
        <v>143</v>
      </c>
      <c r="P17" s="28" t="s">
        <v>82</v>
      </c>
      <c r="Q17" s="12" t="s">
        <v>105</v>
      </c>
      <c r="R17" s="12" t="s">
        <v>122</v>
      </c>
      <c r="S17" s="5" t="s">
        <v>5</v>
      </c>
      <c r="T17" s="28" t="s">
        <v>124</v>
      </c>
      <c r="U17" s="9" t="str">
        <f t="shared" si="0"/>
        <v>kg</v>
      </c>
      <c r="V17" s="2" t="s">
        <v>125</v>
      </c>
      <c r="W17" s="7">
        <v>0</v>
      </c>
      <c r="X17" s="7">
        <v>0</v>
      </c>
      <c r="Y17" s="9" t="str">
        <f t="shared" si="1"/>
        <v>kg</v>
      </c>
      <c r="Z17" s="7">
        <v>0</v>
      </c>
      <c r="AA17" s="7">
        <v>0</v>
      </c>
      <c r="AB17" s="7">
        <v>0</v>
      </c>
      <c r="AC17" s="9" t="str">
        <f t="shared" si="2"/>
        <v>kg</v>
      </c>
      <c r="AD17" s="7">
        <v>0</v>
      </c>
      <c r="AE17" s="7">
        <v>0</v>
      </c>
      <c r="AF17" s="7">
        <v>0</v>
      </c>
    </row>
    <row r="18" spans="1:32" ht="15.95" customHeight="1" x14ac:dyDescent="0.25">
      <c r="A18" s="8" t="s">
        <v>56</v>
      </c>
      <c r="B18" s="10">
        <v>17</v>
      </c>
      <c r="C18" s="26" t="s">
        <v>64</v>
      </c>
      <c r="D18" s="26" t="s">
        <v>67</v>
      </c>
      <c r="E18" s="33" t="s">
        <v>214</v>
      </c>
      <c r="F18" s="9" t="s">
        <v>166</v>
      </c>
      <c r="G18" s="2" t="s">
        <v>185</v>
      </c>
      <c r="H18" s="2" t="s">
        <v>202</v>
      </c>
      <c r="I18" s="2" t="s">
        <v>202</v>
      </c>
      <c r="J18" s="13">
        <v>5314671188</v>
      </c>
      <c r="K18" s="31" t="s">
        <v>209</v>
      </c>
      <c r="L18" s="11" t="s">
        <v>35</v>
      </c>
      <c r="M18" s="2" t="s">
        <v>14</v>
      </c>
      <c r="N18" s="12" t="s">
        <v>15</v>
      </c>
      <c r="O18" s="6" t="s">
        <v>144</v>
      </c>
      <c r="P18" s="9" t="s">
        <v>83</v>
      </c>
      <c r="Q18" s="2" t="s">
        <v>106</v>
      </c>
      <c r="R18" s="2" t="s">
        <v>120</v>
      </c>
      <c r="S18" s="5" t="s">
        <v>5</v>
      </c>
      <c r="T18" s="28" t="s">
        <v>124</v>
      </c>
      <c r="U18" s="9" t="str">
        <f t="shared" si="0"/>
        <v>kg</v>
      </c>
      <c r="V18" s="2" t="s">
        <v>125</v>
      </c>
      <c r="W18" s="7">
        <v>0</v>
      </c>
      <c r="X18" s="7">
        <v>0</v>
      </c>
      <c r="Y18" s="9" t="str">
        <f t="shared" si="1"/>
        <v>kg</v>
      </c>
      <c r="Z18" s="7">
        <v>0</v>
      </c>
      <c r="AA18" s="7">
        <v>0</v>
      </c>
      <c r="AB18" s="7">
        <v>0</v>
      </c>
      <c r="AC18" s="9" t="str">
        <f t="shared" si="2"/>
        <v>kg</v>
      </c>
      <c r="AD18" s="7">
        <v>0</v>
      </c>
      <c r="AE18" s="7">
        <v>0</v>
      </c>
      <c r="AF18" s="7">
        <v>0</v>
      </c>
    </row>
    <row r="19" spans="1:32" ht="15.95" customHeight="1" x14ac:dyDescent="0.25">
      <c r="A19" s="8" t="s">
        <v>57</v>
      </c>
      <c r="B19" s="10">
        <v>18</v>
      </c>
      <c r="C19" s="27" t="s">
        <v>64</v>
      </c>
      <c r="D19" s="27" t="s">
        <v>67</v>
      </c>
      <c r="E19" s="33" t="s">
        <v>214</v>
      </c>
      <c r="F19" s="28" t="s">
        <v>167</v>
      </c>
      <c r="G19" s="12" t="s">
        <v>186</v>
      </c>
      <c r="H19" s="2" t="s">
        <v>203</v>
      </c>
      <c r="I19" s="2" t="s">
        <v>203</v>
      </c>
      <c r="J19" s="13">
        <v>5356844538</v>
      </c>
      <c r="K19" s="31" t="s">
        <v>209</v>
      </c>
      <c r="L19" s="11" t="s">
        <v>35</v>
      </c>
      <c r="M19" s="12" t="s">
        <v>14</v>
      </c>
      <c r="N19" s="12" t="s">
        <v>15</v>
      </c>
      <c r="O19" s="6" t="s">
        <v>145</v>
      </c>
      <c r="P19" s="28" t="s">
        <v>84</v>
      </c>
      <c r="Q19" s="12" t="s">
        <v>107</v>
      </c>
      <c r="R19" s="12" t="s">
        <v>118</v>
      </c>
      <c r="S19" s="5" t="s">
        <v>5</v>
      </c>
      <c r="T19" s="28" t="s">
        <v>124</v>
      </c>
      <c r="U19" s="9" t="str">
        <f t="shared" si="0"/>
        <v>kg</v>
      </c>
      <c r="V19" s="2" t="s">
        <v>125</v>
      </c>
      <c r="W19" s="7">
        <v>0</v>
      </c>
      <c r="X19" s="7">
        <v>0</v>
      </c>
      <c r="Y19" s="9" t="str">
        <f t="shared" si="1"/>
        <v>kg</v>
      </c>
      <c r="Z19" s="7">
        <v>0</v>
      </c>
      <c r="AA19" s="7">
        <v>0</v>
      </c>
      <c r="AB19" s="7">
        <v>0</v>
      </c>
      <c r="AC19" s="9" t="str">
        <f t="shared" si="2"/>
        <v>kg</v>
      </c>
      <c r="AD19" s="7">
        <v>0</v>
      </c>
      <c r="AE19" s="7">
        <v>0</v>
      </c>
      <c r="AF19" s="7">
        <v>0</v>
      </c>
    </row>
    <row r="20" spans="1:32" ht="15.95" customHeight="1" x14ac:dyDescent="0.25">
      <c r="A20" s="8" t="s">
        <v>58</v>
      </c>
      <c r="B20" s="10">
        <v>19</v>
      </c>
      <c r="C20" s="27" t="s">
        <v>64</v>
      </c>
      <c r="D20" s="27" t="s">
        <v>67</v>
      </c>
      <c r="E20" s="33" t="s">
        <v>214</v>
      </c>
      <c r="F20" s="28" t="s">
        <v>167</v>
      </c>
      <c r="G20" s="12" t="s">
        <v>186</v>
      </c>
      <c r="H20" s="2" t="s">
        <v>203</v>
      </c>
      <c r="I20" s="2" t="s">
        <v>203</v>
      </c>
      <c r="J20" s="13">
        <v>5356844538</v>
      </c>
      <c r="K20" s="31" t="s">
        <v>209</v>
      </c>
      <c r="L20" s="11" t="s">
        <v>35</v>
      </c>
      <c r="M20" s="12" t="s">
        <v>14</v>
      </c>
      <c r="N20" s="12" t="s">
        <v>15</v>
      </c>
      <c r="O20" s="6" t="s">
        <v>146</v>
      </c>
      <c r="P20" s="28" t="s">
        <v>85</v>
      </c>
      <c r="Q20" s="12" t="s">
        <v>108</v>
      </c>
      <c r="R20" s="12" t="s">
        <v>118</v>
      </c>
      <c r="S20" s="5" t="s">
        <v>5</v>
      </c>
      <c r="T20" s="28" t="s">
        <v>124</v>
      </c>
      <c r="U20" s="9" t="str">
        <f t="shared" si="0"/>
        <v>kg</v>
      </c>
      <c r="V20" s="2" t="s">
        <v>125</v>
      </c>
      <c r="W20" s="7">
        <v>0</v>
      </c>
      <c r="X20" s="7">
        <v>0</v>
      </c>
      <c r="Y20" s="9" t="str">
        <f t="shared" si="1"/>
        <v>kg</v>
      </c>
      <c r="Z20" s="7">
        <v>0</v>
      </c>
      <c r="AA20" s="7">
        <v>0</v>
      </c>
      <c r="AB20" s="7">
        <v>0</v>
      </c>
      <c r="AC20" s="9" t="str">
        <f t="shared" si="2"/>
        <v>kg</v>
      </c>
      <c r="AD20" s="7">
        <v>0</v>
      </c>
      <c r="AE20" s="7">
        <v>0</v>
      </c>
      <c r="AF20" s="7">
        <v>0</v>
      </c>
    </row>
    <row r="21" spans="1:32" ht="15.95" customHeight="1" x14ac:dyDescent="0.25">
      <c r="A21" s="8" t="s">
        <v>59</v>
      </c>
      <c r="B21" s="10">
        <v>20</v>
      </c>
      <c r="C21" s="27" t="s">
        <v>64</v>
      </c>
      <c r="D21" s="27" t="s">
        <v>64</v>
      </c>
      <c r="E21" s="33" t="s">
        <v>214</v>
      </c>
      <c r="F21" s="28" t="s">
        <v>168</v>
      </c>
      <c r="G21" s="12" t="s">
        <v>187</v>
      </c>
      <c r="H21" s="2" t="s">
        <v>204</v>
      </c>
      <c r="I21" s="2" t="s">
        <v>204</v>
      </c>
      <c r="J21" s="13">
        <v>5424061308</v>
      </c>
      <c r="K21" s="31" t="s">
        <v>209</v>
      </c>
      <c r="L21" s="11" t="s">
        <v>35</v>
      </c>
      <c r="M21" s="12" t="s">
        <v>14</v>
      </c>
      <c r="N21" s="12" t="s">
        <v>15</v>
      </c>
      <c r="O21" s="6" t="s">
        <v>147</v>
      </c>
      <c r="P21" s="28" t="s">
        <v>86</v>
      </c>
      <c r="Q21" s="12" t="s">
        <v>109</v>
      </c>
      <c r="R21" s="12" t="s">
        <v>116</v>
      </c>
      <c r="S21" s="5" t="s">
        <v>5</v>
      </c>
      <c r="T21" s="28" t="s">
        <v>124</v>
      </c>
      <c r="U21" s="9" t="str">
        <f t="shared" si="0"/>
        <v>kg</v>
      </c>
      <c r="V21" s="2" t="s">
        <v>125</v>
      </c>
      <c r="W21" s="7">
        <v>0</v>
      </c>
      <c r="X21" s="7">
        <v>0</v>
      </c>
      <c r="Y21" s="9" t="str">
        <f t="shared" si="1"/>
        <v>kg</v>
      </c>
      <c r="Z21" s="7">
        <v>0</v>
      </c>
      <c r="AA21" s="7">
        <v>0</v>
      </c>
      <c r="AB21" s="7">
        <v>0</v>
      </c>
      <c r="AC21" s="9" t="str">
        <f t="shared" si="2"/>
        <v>kg</v>
      </c>
      <c r="AD21" s="7">
        <v>0</v>
      </c>
      <c r="AE21" s="7">
        <v>0</v>
      </c>
      <c r="AF21" s="7">
        <v>0</v>
      </c>
    </row>
    <row r="22" spans="1:32" ht="15.95" customHeight="1" x14ac:dyDescent="0.25">
      <c r="A22" s="8" t="s">
        <v>60</v>
      </c>
      <c r="B22" s="10">
        <v>21</v>
      </c>
      <c r="C22" s="27" t="s">
        <v>64</v>
      </c>
      <c r="D22" s="27" t="s">
        <v>64</v>
      </c>
      <c r="E22" s="33" t="s">
        <v>214</v>
      </c>
      <c r="F22" s="28" t="s">
        <v>169</v>
      </c>
      <c r="G22" s="12" t="s">
        <v>188</v>
      </c>
      <c r="H22" s="2" t="s">
        <v>205</v>
      </c>
      <c r="I22" s="2" t="s">
        <v>205</v>
      </c>
      <c r="J22" s="13">
        <v>5511218876</v>
      </c>
      <c r="K22" s="31" t="s">
        <v>209</v>
      </c>
      <c r="L22" s="11" t="s">
        <v>35</v>
      </c>
      <c r="M22" s="12" t="s">
        <v>14</v>
      </c>
      <c r="N22" s="12" t="s">
        <v>15</v>
      </c>
      <c r="O22" s="6" t="s">
        <v>148</v>
      </c>
      <c r="P22" s="28" t="s">
        <v>87</v>
      </c>
      <c r="Q22" s="12" t="s">
        <v>110</v>
      </c>
      <c r="R22" s="12" t="s">
        <v>115</v>
      </c>
      <c r="S22" s="5" t="s">
        <v>5</v>
      </c>
      <c r="T22" s="28" t="s">
        <v>124</v>
      </c>
      <c r="U22" s="9" t="str">
        <f t="shared" si="0"/>
        <v>kg</v>
      </c>
      <c r="V22" s="2" t="s">
        <v>125</v>
      </c>
      <c r="W22" s="7">
        <v>0</v>
      </c>
      <c r="X22" s="7">
        <v>0</v>
      </c>
      <c r="Y22" s="9" t="str">
        <f t="shared" si="1"/>
        <v>kg</v>
      </c>
      <c r="Z22" s="7">
        <v>0</v>
      </c>
      <c r="AA22" s="7">
        <v>0</v>
      </c>
      <c r="AB22" s="7">
        <v>0</v>
      </c>
      <c r="AC22" s="9" t="str">
        <f t="shared" si="2"/>
        <v>kg</v>
      </c>
      <c r="AD22" s="7">
        <v>0</v>
      </c>
      <c r="AE22" s="7">
        <v>0</v>
      </c>
      <c r="AF22" s="7">
        <v>0</v>
      </c>
    </row>
    <row r="23" spans="1:32" ht="15.95" customHeight="1" x14ac:dyDescent="0.25">
      <c r="A23" s="25" t="s">
        <v>61</v>
      </c>
      <c r="B23" s="10">
        <v>22</v>
      </c>
      <c r="C23" s="26" t="s">
        <v>64</v>
      </c>
      <c r="D23" s="26" t="s">
        <v>65</v>
      </c>
      <c r="E23" s="33" t="s">
        <v>214</v>
      </c>
      <c r="F23" s="8" t="s">
        <v>170</v>
      </c>
      <c r="G23" s="8">
        <v>55744275368</v>
      </c>
      <c r="H23" s="2" t="s">
        <v>206</v>
      </c>
      <c r="I23" s="2" t="s">
        <v>206</v>
      </c>
      <c r="J23" s="30">
        <v>5454519076</v>
      </c>
      <c r="K23" s="31" t="s">
        <v>209</v>
      </c>
      <c r="L23" s="11" t="s">
        <v>35</v>
      </c>
      <c r="M23" s="8" t="s">
        <v>14</v>
      </c>
      <c r="N23" s="29" t="s">
        <v>15</v>
      </c>
      <c r="O23" s="6" t="s">
        <v>149</v>
      </c>
      <c r="P23" s="8" t="s">
        <v>88</v>
      </c>
      <c r="Q23" s="8">
        <v>230252199</v>
      </c>
      <c r="R23" s="8">
        <v>2023</v>
      </c>
      <c r="S23" s="5" t="s">
        <v>5</v>
      </c>
      <c r="T23" s="28" t="s">
        <v>124</v>
      </c>
      <c r="U23" s="9" t="str">
        <f t="shared" si="0"/>
        <v>kg</v>
      </c>
      <c r="V23" s="2">
        <v>15</v>
      </c>
      <c r="W23" s="7">
        <v>0</v>
      </c>
      <c r="X23" s="7">
        <v>0</v>
      </c>
      <c r="Y23" s="9" t="str">
        <f t="shared" si="1"/>
        <v>kg</v>
      </c>
      <c r="Z23" s="7">
        <v>0</v>
      </c>
      <c r="AA23" s="7">
        <v>0</v>
      </c>
      <c r="AB23" s="7">
        <v>0</v>
      </c>
      <c r="AC23" s="9" t="str">
        <f t="shared" si="2"/>
        <v>kg</v>
      </c>
      <c r="AD23" s="7">
        <v>0</v>
      </c>
      <c r="AE23" s="7">
        <v>0</v>
      </c>
      <c r="AF23" s="7">
        <v>0</v>
      </c>
    </row>
    <row r="24" spans="1:32" ht="15.95" customHeight="1" x14ac:dyDescent="0.25">
      <c r="A24" s="8" t="s">
        <v>62</v>
      </c>
      <c r="B24" s="10">
        <v>23</v>
      </c>
      <c r="C24" s="26" t="s">
        <v>64</v>
      </c>
      <c r="D24" s="26" t="s">
        <v>64</v>
      </c>
      <c r="E24" s="33" t="s">
        <v>214</v>
      </c>
      <c r="F24" s="9" t="s">
        <v>171</v>
      </c>
      <c r="G24" s="2" t="s">
        <v>189</v>
      </c>
      <c r="H24" s="2" t="s">
        <v>207</v>
      </c>
      <c r="I24" s="2" t="s">
        <v>207</v>
      </c>
      <c r="J24" s="13">
        <v>5378266393</v>
      </c>
      <c r="K24" s="31" t="s">
        <v>209</v>
      </c>
      <c r="L24" s="11" t="s">
        <v>35</v>
      </c>
      <c r="M24" s="2" t="s">
        <v>14</v>
      </c>
      <c r="N24" s="12" t="s">
        <v>15</v>
      </c>
      <c r="O24" s="6" t="s">
        <v>150</v>
      </c>
      <c r="P24" s="9" t="s">
        <v>89</v>
      </c>
      <c r="Q24" s="2" t="s">
        <v>111</v>
      </c>
      <c r="R24" s="2" t="s">
        <v>122</v>
      </c>
      <c r="S24" s="5" t="s">
        <v>5</v>
      </c>
      <c r="T24" s="28" t="s">
        <v>124</v>
      </c>
      <c r="U24" s="9" t="str">
        <f t="shared" si="0"/>
        <v>kg</v>
      </c>
      <c r="V24" s="2" t="s">
        <v>127</v>
      </c>
      <c r="W24" s="7">
        <v>0</v>
      </c>
      <c r="X24" s="7">
        <v>0</v>
      </c>
      <c r="Y24" s="9" t="str">
        <f t="shared" si="1"/>
        <v>kg</v>
      </c>
      <c r="Z24" s="7">
        <v>0</v>
      </c>
      <c r="AA24" s="7">
        <v>0</v>
      </c>
      <c r="AB24" s="7">
        <v>0</v>
      </c>
      <c r="AC24" s="9" t="str">
        <f t="shared" si="2"/>
        <v>kg</v>
      </c>
      <c r="AD24" s="7">
        <v>0</v>
      </c>
      <c r="AE24" s="7">
        <v>0</v>
      </c>
      <c r="AF24" s="7">
        <v>0</v>
      </c>
    </row>
    <row r="25" spans="1:32" ht="15.95" customHeight="1" x14ac:dyDescent="0.25">
      <c r="A25" s="8" t="s">
        <v>63</v>
      </c>
      <c r="B25" s="10">
        <v>24</v>
      </c>
      <c r="C25" s="27" t="s">
        <v>64</v>
      </c>
      <c r="D25" s="27" t="s">
        <v>64</v>
      </c>
      <c r="E25" s="33" t="s">
        <v>214</v>
      </c>
      <c r="F25" s="28" t="s">
        <v>172</v>
      </c>
      <c r="G25" s="12" t="s">
        <v>190</v>
      </c>
      <c r="H25" s="2" t="s">
        <v>208</v>
      </c>
      <c r="I25" s="2" t="s">
        <v>208</v>
      </c>
      <c r="J25" s="13">
        <v>5356644594</v>
      </c>
      <c r="K25" s="31" t="s">
        <v>209</v>
      </c>
      <c r="L25" s="11" t="s">
        <v>35</v>
      </c>
      <c r="M25" s="12" t="s">
        <v>14</v>
      </c>
      <c r="N25" s="12" t="s">
        <v>15</v>
      </c>
      <c r="O25" s="6" t="s">
        <v>151</v>
      </c>
      <c r="P25" s="28" t="s">
        <v>90</v>
      </c>
      <c r="Q25" s="12" t="s">
        <v>112</v>
      </c>
      <c r="R25" s="12" t="s">
        <v>123</v>
      </c>
      <c r="S25" s="5" t="s">
        <v>5</v>
      </c>
      <c r="T25" s="28" t="s">
        <v>124</v>
      </c>
      <c r="U25" s="9" t="str">
        <f t="shared" si="0"/>
        <v>kg</v>
      </c>
      <c r="V25" s="2" t="s">
        <v>128</v>
      </c>
      <c r="W25" s="7">
        <v>0</v>
      </c>
      <c r="X25" s="7">
        <v>0</v>
      </c>
      <c r="Y25" s="9" t="str">
        <f t="shared" si="1"/>
        <v>kg</v>
      </c>
      <c r="Z25" s="7">
        <v>0</v>
      </c>
      <c r="AA25" s="7">
        <v>0</v>
      </c>
      <c r="AB25" s="7">
        <v>0</v>
      </c>
      <c r="AC25" s="9" t="str">
        <f t="shared" si="2"/>
        <v>kg</v>
      </c>
      <c r="AD25" s="7">
        <v>0</v>
      </c>
      <c r="AE25" s="7">
        <v>0</v>
      </c>
      <c r="AF25" s="7">
        <v>0</v>
      </c>
    </row>
    <row r="26" spans="1:32" ht="15.95" customHeight="1" x14ac:dyDescent="0.25">
      <c r="A26" s="8" t="s">
        <v>173</v>
      </c>
      <c r="B26" s="32">
        <v>25</v>
      </c>
      <c r="C26" s="27" t="s">
        <v>64</v>
      </c>
      <c r="D26" s="27" t="s">
        <v>64</v>
      </c>
      <c r="E26" s="33" t="s">
        <v>214</v>
      </c>
      <c r="F26" s="28" t="s">
        <v>172</v>
      </c>
      <c r="G26" s="12" t="s">
        <v>190</v>
      </c>
      <c r="H26" s="2" t="s">
        <v>208</v>
      </c>
      <c r="I26" s="2" t="s">
        <v>208</v>
      </c>
      <c r="J26" s="13">
        <v>5356644594</v>
      </c>
      <c r="K26" s="31" t="s">
        <v>209</v>
      </c>
      <c r="L26" s="11" t="s">
        <v>35</v>
      </c>
      <c r="M26" s="12" t="s">
        <v>14</v>
      </c>
      <c r="N26" s="12" t="s">
        <v>15</v>
      </c>
      <c r="O26" s="6" t="s">
        <v>152</v>
      </c>
      <c r="P26" s="28" t="s">
        <v>90</v>
      </c>
      <c r="Q26" s="12" t="s">
        <v>113</v>
      </c>
      <c r="R26" s="12" t="s">
        <v>123</v>
      </c>
      <c r="S26" s="5" t="s">
        <v>5</v>
      </c>
      <c r="T26" s="28" t="s">
        <v>124</v>
      </c>
      <c r="U26" s="9" t="str">
        <f t="shared" si="0"/>
        <v>kg</v>
      </c>
      <c r="V26" s="2">
        <v>15</v>
      </c>
      <c r="W26" s="7">
        <v>0</v>
      </c>
      <c r="X26" s="7">
        <v>0</v>
      </c>
      <c r="Y26" s="9" t="str">
        <f t="shared" si="1"/>
        <v>kg</v>
      </c>
      <c r="Z26" s="7">
        <v>0</v>
      </c>
      <c r="AA26" s="7">
        <v>0</v>
      </c>
      <c r="AB26" s="7">
        <v>0</v>
      </c>
      <c r="AC26" s="9" t="str">
        <f t="shared" si="2"/>
        <v>kg</v>
      </c>
      <c r="AD26" s="7">
        <v>0</v>
      </c>
      <c r="AE26" s="7">
        <v>0</v>
      </c>
      <c r="AF26" s="7">
        <v>0</v>
      </c>
    </row>
  </sheetData>
  <phoneticPr fontId="8" type="noConversion"/>
  <dataValidations count="1">
    <dataValidation type="list" allowBlank="1" showInputMessage="1" showErrorMessage="1" sqref="V3:V26" xr:uid="{64A19CD3-098A-41AB-94CF-E153EC41D08F}">
      <formula1>$BA$2:$BA$25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4CAB826-275A-4A99-9B69-9D5D0135911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Muayeneler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ctrl</dc:creator>
  <cp:lastModifiedBy>ctrl</cp:lastModifiedBy>
  <dcterms:created xsi:type="dcterms:W3CDTF">2015-06-05T18:19:34Z</dcterms:created>
  <dcterms:modified xsi:type="dcterms:W3CDTF">2025-10-22T15:53:46Z</dcterms:modified>
</cp:coreProperties>
</file>